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60" windowWidth="11295" windowHeight="5580" firstSheet="1" activeTab="1"/>
  </bookViews>
  <sheets>
    <sheet name="Template List" sheetId="7" state="hidden" r:id="rId1"/>
    <sheet name="GEN" sheetId="4" r:id="rId2"/>
    <sheet name="Arkusz1" sheetId="9" r:id="rId3"/>
  </sheets>
  <functionGroups/>
  <definedNames>
    <definedName name="AllTemplate1">#REF!</definedName>
    <definedName name="AllTemplate2">#REF!</definedName>
    <definedName name="AllTemplate3">#REF!</definedName>
    <definedName name="CaseID1">#REF!</definedName>
    <definedName name="CaseID2">#REF!</definedName>
    <definedName name="CaseID3">#REF!</definedName>
    <definedName name="DescriptionColumn1">#REF!</definedName>
    <definedName name="DescriptionColumn2">#REF!</definedName>
    <definedName name="DescriptionColumn3">#REF!</definedName>
    <definedName name="FilePath1">#REF!</definedName>
    <definedName name="FilePath2">#REF!</definedName>
    <definedName name="FilePath3">#REF!</definedName>
    <definedName name="GCInputs1">#REF!</definedName>
    <definedName name="GCInputs2">#REF!</definedName>
    <definedName name="GCInputs3">#REF!</definedName>
    <definedName name="GCInputsRow1">#REF!</definedName>
    <definedName name="GCInputsRow2">#REF!</definedName>
    <definedName name="GCInputsRow3">#REF!</definedName>
    <definedName name="GCOutputs1">#REF!</definedName>
    <definedName name="GCOutputs2">#REF!</definedName>
    <definedName name="GCOutputs3">#REF!</definedName>
    <definedName name="GCOutputsRow1">#REF!</definedName>
    <definedName name="GCOutputsRow2">#REF!</definedName>
    <definedName name="GCOutputsRow3">#REF!</definedName>
    <definedName name="INSERT1">#REF!</definedName>
    <definedName name="INSERT2">#REF!</definedName>
    <definedName name="INSERT3">#REF!</definedName>
    <definedName name="InsertPointColumn">'Template List'!$C$3:$C$100</definedName>
    <definedName name="LastRow1">#REF!</definedName>
    <definedName name="LastRow2">#REF!</definedName>
    <definedName name="LastRow3">#REF!</definedName>
    <definedName name="LocationColumn1">#REF!</definedName>
    <definedName name="LocationColumn2">#REF!</definedName>
    <definedName name="LocationColumn3">#REF!</definedName>
    <definedName name="ModelID1">#REF!</definedName>
    <definedName name="ModelID2">#REF!</definedName>
    <definedName name="ModelID3">#REF!</definedName>
    <definedName name="NamesColumn1">#REF!</definedName>
    <definedName name="NamesColumn2">#REF!</definedName>
    <definedName name="NamesColumn3">#REF!</definedName>
    <definedName name="TemplateID1">#REF!</definedName>
    <definedName name="TemplateID2">#REF!</definedName>
    <definedName name="TemplateID3">#REF!</definedName>
    <definedName name="TemplateNameColumn">'Template List'!$B$3:$B$100</definedName>
    <definedName name="TemplateTypeColumn">'Template List'!$A$3:$A$100</definedName>
    <definedName name="TotalTemplates">'Template List'!$B$1</definedName>
    <definedName name="UOMColumn1">#REF!</definedName>
    <definedName name="UOMColumn2">#REF!</definedName>
    <definedName name="UOMColumn3">#REF!</definedName>
    <definedName name="ValueColumn1">#REF!</definedName>
    <definedName name="ValueColumn2">#REF!</definedName>
    <definedName name="ValueColumn3">#REF!</definedName>
  </definedNames>
  <calcPr calcId="124519"/>
</workbook>
</file>

<file path=xl/calcChain.xml><?xml version="1.0" encoding="utf-8"?>
<calcChain xmlns="http://schemas.openxmlformats.org/spreadsheetml/2006/main">
  <c r="H46" i="4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M30" i="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9"/>
  <c r="B5" i="7" l="1"/>
  <c r="B4"/>
  <c r="B3"/>
  <c r="I12" i="4"/>
  <c r="F12"/>
  <c r="G64" l="1"/>
</calcChain>
</file>

<file path=xl/sharedStrings.xml><?xml version="1.0" encoding="utf-8"?>
<sst xmlns="http://schemas.openxmlformats.org/spreadsheetml/2006/main" count="141" uniqueCount="89">
  <si>
    <t>Informacje o populacji rozwiązań</t>
  </si>
  <si>
    <t>Parametry algorytmu genetycznego</t>
  </si>
  <si>
    <t>zalecane 20</t>
  </si>
  <si>
    <t>zalecane min. 500</t>
  </si>
  <si>
    <t>zalecane min. 100</t>
  </si>
  <si>
    <t>zalecane 0,25-0,3</t>
  </si>
  <si>
    <t>zalecane max. 0,01</t>
  </si>
  <si>
    <t>Informacje o zmiennych (genach)</t>
  </si>
  <si>
    <t>1.</t>
  </si>
  <si>
    <t>[nazwa]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</si>
  <si>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</si>
  <si>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</si>
  <si>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</si>
  <si>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</si>
  <si>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</si>
  <si>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</si>
  <si>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</si>
  <si>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</si>
  <si>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</si>
  <si>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</si>
  <si>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</si>
  <si>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</si>
  <si>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</si>
  <si>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</si>
  <si>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</si>
  <si>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</si>
  <si>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</si>
  <si>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</si>
  <si>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</si>
  <si>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Liczba aktywnych zmiennych</t>
  </si>
  <si>
    <t>nazwa zmiennej:</t>
  </si>
  <si>
    <t>zakres zmiennej:</t>
  </si>
  <si>
    <t>Informacje o funkcji celu</t>
  </si>
  <si>
    <t>Wartość funkcji celu dla aktualnych wartości:</t>
  </si>
  <si>
    <t>Warunki ograniczające:</t>
  </si>
  <si>
    <t>nazwa warunku:</t>
  </si>
  <si>
    <t>wartość graniczna i aktualna:</t>
  </si>
  <si>
    <t>warunki wykluczają osobnika</t>
  </si>
  <si>
    <t>Warunki spełnione</t>
  </si>
  <si>
    <t>wynik:</t>
  </si>
  <si>
    <t>(wprowadzić postać funkcji liczącą aktualną wartość)</t>
  </si>
  <si>
    <t>liczba możliwych rozwiązań:</t>
  </si>
  <si>
    <t>Liczebność populacji:</t>
  </si>
  <si>
    <t>Liczba pokoleń:</t>
  </si>
  <si>
    <t>Liczba pokoleń bez poprawy:</t>
  </si>
  <si>
    <t>Warunki zakończenia:</t>
  </si>
  <si>
    <t>Prawdopodobieństwo krzyżowania:</t>
  </si>
  <si>
    <t>Prawdopodobieństwo mutacji:</t>
  </si>
  <si>
    <t>Długość kodu binarnego zmiennych:</t>
  </si>
  <si>
    <t>zalecane 10-20</t>
  </si>
  <si>
    <t>0 - 1</t>
  </si>
  <si>
    <t>1 - 30</t>
  </si>
  <si>
    <t>1 - 100</t>
  </si>
  <si>
    <t>1 - 20</t>
  </si>
  <si>
    <t>1-2000</t>
  </si>
  <si>
    <t>min</t>
  </si>
  <si>
    <t>max</t>
  </si>
  <si>
    <t>Status obliczeń</t>
  </si>
  <si>
    <t>Aktualnie liczone pokolenie:</t>
  </si>
  <si>
    <t>Czas trwania obliczeń:</t>
  </si>
  <si>
    <t>No. of Templates:</t>
  </si>
  <si>
    <t>Template Type</t>
  </si>
  <si>
    <t>Template Name</t>
  </si>
  <si>
    <t>Template Location</t>
  </si>
  <si>
    <t>QC Model</t>
  </si>
  <si>
    <t>INSERT1</t>
  </si>
  <si>
    <t>INSERT2</t>
  </si>
  <si>
    <t>INSERT3</t>
  </si>
  <si>
    <t>a</t>
  </si>
  <si>
    <t>b</t>
  </si>
  <si>
    <t>c</t>
  </si>
  <si>
    <t>d</t>
  </si>
  <si>
    <t>e</t>
  </si>
  <si>
    <t>f</t>
  </si>
  <si>
    <t>x4</t>
  </si>
  <si>
    <t>x3</t>
  </si>
  <si>
    <t>x2</t>
  </si>
  <si>
    <t>x</t>
  </si>
  <si>
    <t>x5</t>
  </si>
  <si>
    <t>y</t>
  </si>
  <si>
    <t>var1</t>
  </si>
  <si>
    <t>zmienna</t>
  </si>
  <si>
    <t>opt</t>
  </si>
  <si>
    <t>val</t>
  </si>
  <si>
    <t>var2</t>
  </si>
  <si>
    <t>var3</t>
  </si>
  <si>
    <t>najlepsza wartość:</t>
  </si>
  <si>
    <t>Obliczenia zakończone</t>
  </si>
  <si>
    <t>0h 0m 7s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</si>
</sst>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0000"/>
    <numFmt numFmtId="166" formatCode="0.0"/>
    <numFmt numFmtId="167" formatCode="0.0000"/>
  </numFmts>
  <fonts count="12">
    <font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i/>
      <sz val="11"/>
      <color rgb="FF00B05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i/>
      <sz val="10"/>
      <color theme="1" tint="0.1499984740745262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1" tint="0.1499984740745262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FFBD"/>
        <bgColor indexed="64"/>
      </patternFill>
    </fill>
    <fill>
      <patternFill patternType="solid">
        <fgColor rgb="FFC4FFA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0" fontId="1" fillId="3" borderId="3" xfId="0" applyFont="1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 applyBorder="1"/>
    <xf numFmtId="0" fontId="1" fillId="3" borderId="6" xfId="0" applyFont="1" applyFill="1" applyBorder="1"/>
    <xf numFmtId="0" fontId="0" fillId="3" borderId="5" xfId="0" applyFill="1" applyBorder="1"/>
    <xf numFmtId="0" fontId="0" fillId="3" borderId="7" xfId="0" applyFill="1" applyBorder="1"/>
    <xf numFmtId="0" fontId="0" fillId="5" borderId="1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3" fillId="3" borderId="0" xfId="0" applyFont="1" applyFill="1" applyBorder="1"/>
    <xf numFmtId="0" fontId="0" fillId="3" borderId="2" xfId="0" applyFill="1" applyBorder="1"/>
    <xf numFmtId="0" fontId="0" fillId="3" borderId="13" xfId="0" applyFill="1" applyBorder="1"/>
    <xf numFmtId="0" fontId="0" fillId="3" borderId="12" xfId="0" applyFill="1" applyBorder="1"/>
    <xf numFmtId="0" fontId="2" fillId="2" borderId="0" xfId="0" applyFont="1" applyFill="1"/>
    <xf numFmtId="0" fontId="2" fillId="2" borderId="0" xfId="0" applyFont="1" applyFill="1" applyBorder="1"/>
    <xf numFmtId="164" fontId="0" fillId="4" borderId="11" xfId="0" applyNumberFormat="1" applyFill="1" applyBorder="1"/>
    <xf numFmtId="0" fontId="0" fillId="3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7" fillId="3" borderId="7" xfId="0" applyFont="1" applyFill="1" applyBorder="1"/>
    <xf numFmtId="49" fontId="4" fillId="3" borderId="7" xfId="0" applyNumberFormat="1" applyFont="1" applyFill="1" applyBorder="1" applyAlignment="1">
      <alignment horizontal="center" vertical="center"/>
    </xf>
    <xf numFmtId="49" fontId="4" fillId="3" borderId="0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0" borderId="0" xfId="0" applyNumberFormat="1"/>
    <xf numFmtId="0" fontId="0" fillId="0" borderId="0" xfId="0"/>
    <xf numFmtId="0" fontId="9" fillId="3" borderId="0" xfId="0" applyFont="1" applyFill="1" applyBorder="1" applyAlignment="1">
      <alignment horizontal="right"/>
    </xf>
    <xf numFmtId="166" fontId="0" fillId="2" borderId="0" xfId="0" applyNumberFormat="1" applyFill="1"/>
    <xf numFmtId="0" fontId="1" fillId="3" borderId="14" xfId="0" applyFont="1" applyFill="1" applyBorder="1"/>
    <xf numFmtId="0" fontId="0" fillId="3" borderId="15" xfId="0" applyFill="1" applyBorder="1"/>
    <xf numFmtId="0" fontId="6" fillId="3" borderId="6" xfId="0" applyFont="1" applyFill="1" applyBorder="1"/>
    <xf numFmtId="0" fontId="9" fillId="3" borderId="6" xfId="0" applyFont="1" applyFill="1" applyBorder="1"/>
    <xf numFmtId="0" fontId="9" fillId="3" borderId="16" xfId="0" applyFont="1" applyFill="1" applyBorder="1"/>
    <xf numFmtId="0" fontId="0" fillId="3" borderId="16" xfId="0" applyFill="1" applyBorder="1"/>
    <xf numFmtId="0" fontId="10" fillId="3" borderId="14" xfId="0" applyFont="1" applyFill="1" applyBorder="1" applyAlignment="1">
      <alignment horizontal="left"/>
    </xf>
    <xf numFmtId="164" fontId="8" fillId="4" borderId="11" xfId="0" applyNumberFormat="1" applyFont="1" applyFill="1" applyBorder="1"/>
    <xf numFmtId="0" fontId="5" fillId="3" borderId="16" xfId="0" applyFont="1" applyFill="1" applyBorder="1"/>
    <xf numFmtId="0" fontId="0" fillId="3" borderId="19" xfId="0" applyFill="1" applyBorder="1"/>
    <xf numFmtId="0" fontId="5" fillId="3" borderId="17" xfId="0" applyFont="1" applyFill="1" applyBorder="1"/>
    <xf numFmtId="0" fontId="0" fillId="3" borderId="18" xfId="0" applyFill="1" applyBorder="1"/>
    <xf numFmtId="10" fontId="0" fillId="2" borderId="0" xfId="0" applyNumberFormat="1" applyFill="1"/>
    <xf numFmtId="0" fontId="0" fillId="0" borderId="0" xfId="0" applyAlignment="1">
      <alignment horizontal="left"/>
    </xf>
    <xf numFmtId="0" fontId="11" fillId="0" borderId="0" xfId="0" applyFont="1"/>
    <xf numFmtId="0" fontId="0" fillId="2" borderId="16" xfId="0" applyFill="1" applyBorder="1"/>
    <xf numFmtId="0" fontId="0" fillId="2" borderId="17" xfId="0" applyFill="1" applyBorder="1"/>
    <xf numFmtId="0" fontId="1" fillId="2" borderId="6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11" xfId="0" applyFill="1" applyBorder="1"/>
    <xf numFmtId="0" fontId="3" fillId="2" borderId="0" xfId="0" applyFont="1" applyFill="1" applyBorder="1"/>
    <xf numFmtId="0" fontId="1" fillId="2" borderId="12" xfId="0" applyFont="1" applyFill="1" applyBorder="1"/>
    <xf numFmtId="0" fontId="0" fillId="2" borderId="2" xfId="0" applyFill="1" applyBorder="1"/>
    <xf numFmtId="0" fontId="0" fillId="2" borderId="13" xfId="0" applyFill="1" applyBorder="1"/>
    <xf numFmtId="0" fontId="2" fillId="2" borderId="7" xfId="0" applyFont="1" applyFill="1" applyBorder="1"/>
    <xf numFmtId="0" fontId="0" fillId="2" borderId="6" xfId="0" applyFill="1" applyBorder="1" applyAlignment="1">
      <alignment horizontal="center" vertical="center"/>
    </xf>
    <xf numFmtId="0" fontId="0" fillId="2" borderId="19" xfId="0" applyFill="1" applyBorder="1"/>
    <xf numFmtId="0" fontId="0" fillId="2" borderId="1" xfId="0" applyFill="1" applyBorder="1"/>
    <xf numFmtId="1" fontId="0" fillId="2" borderId="11" xfId="0" applyNumberFormat="1" applyFill="1" applyBorder="1"/>
    <xf numFmtId="0" fontId="0" fillId="2" borderId="18" xfId="0" applyFill="1" applyBorder="1"/>
    <xf numFmtId="0" fontId="6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6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right" vertical="center"/>
    </xf>
    <xf numFmtId="0" fontId="9" fillId="3" borderId="0" xfId="0" applyFont="1" applyFill="1" applyBorder="1"/>
    <xf numFmtId="167" fontId="0" fillId="0" borderId="0" xfId="0" applyNumberFormat="1"/>
    <xf numFmtId="0" fontId="3" fillId="3" borderId="8" xfId="0" applyFont="1" applyFill="1" applyBorder="1" applyAlignment="1">
      <alignment horizontal="right"/>
    </xf>
    <xf numFmtId="0" fontId="3" fillId="3" borderId="9" xfId="0" applyFont="1" applyFill="1" applyBorder="1" applyAlignment="1">
      <alignment horizontal="right"/>
    </xf>
  </cellXfs>
  <cellStyles count="1">
    <cellStyle name="Normalny" xfId="0" builtinId="0"/>
  </cellStyles>
  <dxfs count="66"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0.000"/>
      <fill>
        <patternFill>
          <bgColor rgb="FFFF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4FFAF"/>
      <color rgb="FFFFFFCC"/>
      <color rgb="FFFAFFB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plotArea>
      <c:layout/>
      <c:scatterChart>
        <c:scatterStyle val="smoothMarker"/>
        <c:ser>
          <c:idx val="0"/>
          <c:order val="0"/>
          <c:xVal>
            <c:numRef>
              <c:f>Arkusz1!$D$9:$D$59</c:f>
              <c:numCache>
                <c:formatCode>General</c:formatCode>
                <c:ptCount val="51"/>
                <c:pt idx="0">
                  <c:v>4.0999999999999996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</c:numCache>
            </c:numRef>
          </c:xVal>
          <c:yVal>
            <c:numRef>
              <c:f>Arkusz1!$E$9:$E$59</c:f>
              <c:numCache>
                <c:formatCode>General</c:formatCode>
                <c:ptCount val="51"/>
                <c:pt idx="0">
                  <c:v>202.9705899999999</c:v>
                </c:pt>
                <c:pt idx="1">
                  <c:v>48.956589999999998</c:v>
                </c:pt>
                <c:pt idx="2">
                  <c:v>47.817279999999997</c:v>
                </c:pt>
                <c:pt idx="3">
                  <c:v>46.57817</c:v>
                </c:pt>
                <c:pt idx="4">
                  <c:v>45.24736</c:v>
                </c:pt>
                <c:pt idx="5">
                  <c:v>43.84375</c:v>
                </c:pt>
                <c:pt idx="6">
                  <c:v>42.39584</c:v>
                </c:pt>
                <c:pt idx="7">
                  <c:v>40.940529999999995</c:v>
                </c:pt>
                <c:pt idx="8">
                  <c:v>39.521920000000001</c:v>
                </c:pt>
                <c:pt idx="9">
                  <c:v>38.190110000000004</c:v>
                </c:pt>
                <c:pt idx="10">
                  <c:v>37</c:v>
                </c:pt>
                <c:pt idx="11">
                  <c:v>36.010089999999998</c:v>
                </c:pt>
                <c:pt idx="12">
                  <c:v>35.281279999999995</c:v>
                </c:pt>
                <c:pt idx="13">
                  <c:v>34.87567</c:v>
                </c:pt>
                <c:pt idx="14">
                  <c:v>34.855359999999997</c:v>
                </c:pt>
                <c:pt idx="15">
                  <c:v>35.28125</c:v>
                </c:pt>
                <c:pt idx="16">
                  <c:v>36.211840000000009</c:v>
                </c:pt>
                <c:pt idx="17">
                  <c:v>37.702029999999993</c:v>
                </c:pt>
                <c:pt idx="18">
                  <c:v>39.801920000000003</c:v>
                </c:pt>
                <c:pt idx="19">
                  <c:v>42.555610000000001</c:v>
                </c:pt>
                <c:pt idx="20">
                  <c:v>46</c:v>
                </c:pt>
                <c:pt idx="21">
                  <c:v>50.163589999999992</c:v>
                </c:pt>
                <c:pt idx="22">
                  <c:v>55.065280000000016</c:v>
                </c:pt>
                <c:pt idx="23">
                  <c:v>60.713169999999998</c:v>
                </c:pt>
                <c:pt idx="24">
                  <c:v>67.103360000000009</c:v>
                </c:pt>
                <c:pt idx="25">
                  <c:v>74.21875</c:v>
                </c:pt>
                <c:pt idx="26">
                  <c:v>82.027839999999969</c:v>
                </c:pt>
                <c:pt idx="27">
                  <c:v>90.48353000000003</c:v>
                </c:pt>
                <c:pt idx="28">
                  <c:v>99.521919999999938</c:v>
                </c:pt>
                <c:pt idx="29">
                  <c:v>109.06111000000004</c:v>
                </c:pt>
                <c:pt idx="30">
                  <c:v>119</c:v>
                </c:pt>
                <c:pt idx="31">
                  <c:v>129.21709000000007</c:v>
                </c:pt>
                <c:pt idx="32">
                  <c:v>139.56928000000005</c:v>
                </c:pt>
                <c:pt idx="33">
                  <c:v>149.89067</c:v>
                </c:pt>
                <c:pt idx="34">
                  <c:v>159.99135999999993</c:v>
                </c:pt>
                <c:pt idx="35">
                  <c:v>169.65625</c:v>
                </c:pt>
                <c:pt idx="36">
                  <c:v>178.64383999999998</c:v>
                </c:pt>
                <c:pt idx="37">
                  <c:v>186.68503000000004</c:v>
                </c:pt>
                <c:pt idx="38">
                  <c:v>193.48192000000003</c:v>
                </c:pt>
                <c:pt idx="39">
                  <c:v>198.70660999999984</c:v>
                </c:pt>
                <c:pt idx="40">
                  <c:v>202</c:v>
                </c:pt>
                <c:pt idx="41">
                  <c:v>202.9705899999999</c:v>
                </c:pt>
                <c:pt idx="42">
                  <c:v>201.19327999999996</c:v>
                </c:pt>
                <c:pt idx="43">
                  <c:v>196.20817000000022</c:v>
                </c:pt>
                <c:pt idx="44">
                  <c:v>187.51936000000006</c:v>
                </c:pt>
                <c:pt idx="45">
                  <c:v>174.59375</c:v>
                </c:pt>
                <c:pt idx="46">
                  <c:v>156.85984000000013</c:v>
                </c:pt>
                <c:pt idx="47">
                  <c:v>133.70653000000033</c:v>
                </c:pt>
                <c:pt idx="48">
                  <c:v>104.48191999999997</c:v>
                </c:pt>
                <c:pt idx="49">
                  <c:v>68.492109999999968</c:v>
                </c:pt>
                <c:pt idx="50">
                  <c:v>25</c:v>
                </c:pt>
              </c:numCache>
            </c:numRef>
          </c:yVal>
          <c:smooth val="1"/>
        </c:ser>
        <c:axId val="85111936"/>
        <c:axId val="85113472"/>
      </c:scatterChart>
      <c:valAx>
        <c:axId val="85111936"/>
        <c:scaling>
          <c:orientation val="minMax"/>
        </c:scaling>
        <c:axPos val="b"/>
        <c:numFmt formatCode="General" sourceLinked="1"/>
        <c:tickLblPos val="nextTo"/>
        <c:crossAx val="85113472"/>
        <c:crosses val="autoZero"/>
        <c:crossBetween val="midCat"/>
      </c:valAx>
      <c:valAx>
        <c:axId val="85113472"/>
        <c:scaling>
          <c:orientation val="minMax"/>
        </c:scaling>
        <c:axPos val="l"/>
        <c:majorGridlines/>
        <c:numFmt formatCode="General" sourceLinked="1"/>
        <c:tickLblPos val="nextTo"/>
        <c:crossAx val="851119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123824</xdr:colOff>
      <xdr:row>5</xdr:row>
      <xdr:rowOff>47625</xdr:rowOff>
    </xdr:from>
    <xdr:to>
      <xdr:col>19</xdr:col>
      <xdr:colOff>352425</xdr:colOff>
      <xdr:row>8</xdr:row>
      <xdr:rowOff>19050</xdr:rowOff>
    </xdr:to>
    <xdr:sp macro="[0]!JAVA" textlink="">
      <xdr:nvSpPr>
        <xdr:cNvPr id="9" name="Prostokąt z rogami zaokrąglonymi po przekątnej 8"/>
        <xdr:cNvSpPr/>
      </xdr:nvSpPr>
      <xdr:spPr>
        <a:xfrm>
          <a:off x="10610849" y="1019175"/>
          <a:ext cx="1619251" cy="542925"/>
        </a:xfrm>
        <a:prstGeom prst="round2DiagRect">
          <a:avLst/>
        </a:prstGeom>
        <a:ln w="25400">
          <a:solidFill>
            <a:schemeClr val="accent6"/>
          </a:solidFill>
          <a:prstDash val="solid"/>
        </a:ln>
        <a:effectLst/>
        <a:scene3d>
          <a:camera prst="orthographicFront"/>
          <a:lightRig rig="threePt" dir="t"/>
        </a:scene3d>
        <a:sp3d extrusionH="76200" contourW="12700" prstMaterial="softEdge">
          <a:bevelT w="63500" h="63500"/>
          <a:bevelB/>
          <a:extrusionClr>
            <a:srgbClr val="FFC000"/>
          </a:extrusionClr>
          <a:contourClr>
            <a:srgbClr val="FFC000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b"/>
        <a:lstStyle/>
        <a:p>
          <a:pPr algn="ctr"/>
          <a:r>
            <a:rPr lang="pl-PL" sz="1100" i="1"/>
            <a:t>JAVA</a:t>
          </a:r>
        </a:p>
        <a:p>
          <a:pPr algn="ctr"/>
          <a:r>
            <a:rPr lang="pl-PL" sz="1100" i="1"/>
            <a:t>Genetic Algorithm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1</xdr:row>
      <xdr:rowOff>142875</xdr:rowOff>
    </xdr:from>
    <xdr:to>
      <xdr:col>16</xdr:col>
      <xdr:colOff>228600</xdr:colOff>
      <xdr:row>16</xdr:row>
      <xdr:rowOff>28575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C5"/>
  <sheetViews>
    <sheetView workbookViewId="0">
      <selection activeCell="C2" sqref="C2"/>
    </sheetView>
  </sheetViews>
  <sheetFormatPr defaultRowHeight="15"/>
  <cols>
    <col min="1" max="1" width="30.7109375" customWidth="1"/>
    <col min="2" max="3" width="25.7109375" customWidth="1"/>
  </cols>
  <sheetData>
    <row r="1" spans="1:3">
      <c r="A1" s="28" t="s">
        <v>60</v>
      </c>
      <c r="B1" s="44">
        <v>3</v>
      </c>
    </row>
    <row r="2" spans="1:3">
      <c r="A2" s="45" t="s">
        <v>61</v>
      </c>
      <c r="B2" s="45" t="s">
        <v>62</v>
      </c>
      <c r="C2" s="45" t="s">
        <v>63</v>
      </c>
    </row>
    <row r="3" spans="1:3">
      <c r="A3" s="28" t="s">
        <v>64</v>
      </c>
      <c r="B3" t="e">
        <f>#REF!</f>
        <v>#REF!</v>
      </c>
      <c r="C3" s="28" t="s">
        <v>65</v>
      </c>
    </row>
    <row r="4" spans="1:3">
      <c r="A4" s="28" t="s">
        <v>64</v>
      </c>
      <c r="B4" t="e">
        <f>#REF!</f>
        <v>#REF!</v>
      </c>
      <c r="C4" s="28" t="s">
        <v>66</v>
      </c>
    </row>
    <row r="5" spans="1:3">
      <c r="A5" s="28" t="s">
        <v>64</v>
      </c>
      <c r="B5" t="e">
        <f>#REF!</f>
        <v>#REF!</v>
      </c>
      <c r="C5" s="28" t="s">
        <v>67</v>
      </c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A1:AK119"/>
  <sheetViews>
    <sheetView tabSelected="1" workbookViewId="0">
      <selection activeCell="M18" sqref="M18"/>
    </sheetView>
  </sheetViews>
  <sheetFormatPr defaultRowHeight="15"/>
  <cols>
    <col min="1" max="1" width="4.85546875" style="1" customWidth="1"/>
    <col min="2" max="2" width="9.85546875" bestFit="1" customWidth="1"/>
    <col min="6" max="6" width="9.85546875" bestFit="1" customWidth="1"/>
    <col min="7" max="7" width="9.140625" customWidth="1"/>
    <col min="8" max="8" width="9.5703125" bestFit="1" customWidth="1"/>
    <col min="10" max="10" width="9.85546875" bestFit="1" customWidth="1"/>
    <col min="12" max="12" width="9.85546875" bestFit="1" customWidth="1"/>
    <col min="15" max="15" width="12" bestFit="1" customWidth="1"/>
    <col min="18" max="18" width="11.7109375" customWidth="1"/>
    <col min="21" max="21" width="9.28515625" bestFit="1" customWidth="1"/>
    <col min="38" max="38" width="11" bestFit="1" customWidth="1"/>
    <col min="39" max="39" width="10" bestFit="1" customWidth="1"/>
  </cols>
  <sheetData>
    <row r="1" spans="2:24" s="1" customFormat="1" ht="15.75" thickBot="1"/>
    <row r="2" spans="2:24" ht="15.75" thickBot="1">
      <c r="B2" s="2" t="s">
        <v>0</v>
      </c>
      <c r="C2" s="3"/>
      <c r="D2" s="3"/>
      <c r="E2" s="3"/>
      <c r="F2" s="3"/>
      <c r="G2" s="7"/>
      <c r="H2" s="1"/>
      <c r="I2" s="1"/>
      <c r="J2" s="1"/>
      <c r="K2" s="31" t="s">
        <v>57</v>
      </c>
      <c r="L2" s="32"/>
      <c r="M2" s="37" t="s">
        <v>87</v>
      </c>
      <c r="N2" s="32"/>
      <c r="O2" s="3"/>
      <c r="P2" s="3"/>
      <c r="Q2" s="3"/>
      <c r="R2" s="3"/>
      <c r="S2" s="3"/>
      <c r="T2" s="7"/>
      <c r="U2" s="1"/>
      <c r="V2" s="1"/>
      <c r="W2" s="1"/>
      <c r="X2" s="1"/>
    </row>
    <row r="3" spans="2:24">
      <c r="B3" s="4"/>
      <c r="C3" s="5" t="s">
        <v>42</v>
      </c>
      <c r="D3" s="5"/>
      <c r="E3" s="5"/>
      <c r="F3" s="9">
        <v>200</v>
      </c>
      <c r="G3" s="22" t="s">
        <v>52</v>
      </c>
      <c r="H3" s="17" t="s">
        <v>2</v>
      </c>
      <c r="I3" s="1"/>
      <c r="J3" s="1"/>
      <c r="K3" s="33"/>
      <c r="L3" s="5"/>
      <c r="M3" s="5"/>
      <c r="N3" s="5"/>
      <c r="O3" s="5"/>
      <c r="P3" s="35" t="s">
        <v>59</v>
      </c>
      <c r="Q3" s="36"/>
      <c r="R3" s="36"/>
      <c r="S3" s="36" t="s">
        <v>88</v>
      </c>
      <c r="T3" s="8"/>
      <c r="U3" s="1"/>
      <c r="V3" s="1"/>
      <c r="W3" s="1"/>
      <c r="X3" s="1"/>
    </row>
    <row r="4" spans="2:24">
      <c r="B4" s="4" t="s">
        <v>45</v>
      </c>
      <c r="C4" s="5"/>
      <c r="D4" s="5"/>
      <c r="E4" s="29" t="s">
        <v>55</v>
      </c>
      <c r="F4" s="29" t="s">
        <v>56</v>
      </c>
      <c r="G4" s="23"/>
      <c r="H4" s="1"/>
      <c r="I4" s="1"/>
      <c r="J4" s="1"/>
      <c r="K4" s="34" t="s">
        <v>58</v>
      </c>
      <c r="L4" s="5"/>
      <c r="M4" s="5"/>
      <c r="N4" s="9">
        <v>10000</v>
      </c>
      <c r="O4" s="5"/>
      <c r="P4" s="68"/>
      <c r="Q4" s="5"/>
      <c r="R4" s="5"/>
      <c r="S4" s="5"/>
      <c r="T4" s="8"/>
      <c r="U4" s="1"/>
      <c r="V4" s="1"/>
      <c r="W4" s="1"/>
      <c r="X4" s="1"/>
    </row>
    <row r="5" spans="2:24">
      <c r="B5" s="4"/>
      <c r="C5" s="5" t="s">
        <v>43</v>
      </c>
      <c r="D5" s="5"/>
      <c r="E5" s="9">
        <v>2000</v>
      </c>
      <c r="F5" s="9">
        <v>10000</v>
      </c>
      <c r="G5" s="22" t="s">
        <v>54</v>
      </c>
      <c r="H5" s="17" t="s">
        <v>3</v>
      </c>
      <c r="I5" s="1"/>
      <c r="J5" s="1"/>
      <c r="K5" s="34" t="s">
        <v>44</v>
      </c>
      <c r="L5" s="5"/>
      <c r="M5" s="5"/>
      <c r="N5" s="9">
        <v>57</v>
      </c>
      <c r="O5" s="5"/>
      <c r="P5" s="68"/>
      <c r="Q5" s="5"/>
      <c r="R5" s="5"/>
      <c r="S5" s="5"/>
      <c r="T5" s="8"/>
      <c r="U5" s="1"/>
      <c r="V5" s="1"/>
      <c r="W5" s="1"/>
      <c r="X5" s="1"/>
    </row>
    <row r="6" spans="2:24">
      <c r="B6" s="4"/>
      <c r="C6" s="5" t="s">
        <v>44</v>
      </c>
      <c r="D6" s="5"/>
      <c r="E6" s="5"/>
      <c r="F6" s="9">
        <v>2000</v>
      </c>
      <c r="G6" s="22" t="s">
        <v>54</v>
      </c>
      <c r="H6" s="17" t="s">
        <v>4</v>
      </c>
      <c r="I6" s="1"/>
      <c r="J6" s="1"/>
      <c r="K6" s="4"/>
      <c r="L6" s="5"/>
      <c r="M6" s="5"/>
      <c r="N6" s="5"/>
      <c r="O6" s="5"/>
      <c r="P6" s="5"/>
      <c r="Q6" s="5"/>
      <c r="R6" s="5"/>
      <c r="S6" s="5"/>
      <c r="T6" s="8"/>
      <c r="U6" s="1"/>
      <c r="V6" s="1"/>
      <c r="W6" s="1"/>
      <c r="X6" s="1"/>
    </row>
    <row r="7" spans="2:24">
      <c r="B7" s="4"/>
      <c r="C7" s="5"/>
      <c r="D7" s="5"/>
      <c r="E7" s="5"/>
      <c r="F7" s="5"/>
      <c r="G7" s="23"/>
      <c r="H7" s="1"/>
      <c r="I7" s="1"/>
      <c r="J7" s="1"/>
      <c r="K7" s="4"/>
      <c r="L7" s="5"/>
      <c r="M7" s="5"/>
      <c r="N7" s="5"/>
      <c r="O7" s="5"/>
      <c r="P7" s="5"/>
      <c r="Q7" s="5"/>
      <c r="R7" s="5"/>
      <c r="S7" s="5"/>
      <c r="T7" s="8"/>
      <c r="U7" s="1"/>
      <c r="V7" s="1"/>
      <c r="W7" s="1"/>
      <c r="X7" s="1"/>
    </row>
    <row r="8" spans="2:24">
      <c r="B8" s="6" t="s">
        <v>1</v>
      </c>
      <c r="C8" s="5"/>
      <c r="D8" s="5"/>
      <c r="E8" s="5"/>
      <c r="F8" s="5"/>
      <c r="G8" s="23"/>
      <c r="H8" s="1"/>
      <c r="I8" s="1"/>
      <c r="J8" s="1"/>
      <c r="K8" s="4"/>
      <c r="L8" s="5"/>
      <c r="M8" s="5"/>
      <c r="N8" s="5"/>
      <c r="O8" s="5"/>
      <c r="P8" s="5"/>
      <c r="Q8" s="5"/>
      <c r="R8" s="5"/>
      <c r="S8" s="5"/>
      <c r="T8" s="8"/>
      <c r="U8" s="1"/>
      <c r="V8" s="1"/>
      <c r="W8" s="1"/>
      <c r="X8" s="1"/>
    </row>
    <row r="9" spans="2:24" ht="15.75" thickBot="1">
      <c r="B9" s="4" t="s">
        <v>46</v>
      </c>
      <c r="C9" s="5"/>
      <c r="D9" s="5"/>
      <c r="E9" s="5"/>
      <c r="F9" s="9">
        <v>0.3</v>
      </c>
      <c r="G9" s="22" t="s">
        <v>50</v>
      </c>
      <c r="H9" s="17" t="s">
        <v>5</v>
      </c>
      <c r="I9" s="1"/>
      <c r="J9" s="1"/>
      <c r="K9" s="10"/>
      <c r="L9" s="11"/>
      <c r="M9" s="11"/>
      <c r="N9" s="11"/>
      <c r="O9" s="11"/>
      <c r="P9" s="11"/>
      <c r="Q9" s="11"/>
      <c r="R9" s="11"/>
      <c r="S9" s="11"/>
      <c r="T9" s="12"/>
      <c r="U9" s="1"/>
      <c r="V9" s="1"/>
      <c r="W9" s="1"/>
      <c r="X9" s="1"/>
    </row>
    <row r="10" spans="2:24">
      <c r="B10" s="4" t="s">
        <v>47</v>
      </c>
      <c r="C10" s="5"/>
      <c r="D10" s="5"/>
      <c r="E10" s="5"/>
      <c r="F10" s="9">
        <v>5.0000000000000001E-3</v>
      </c>
      <c r="G10" s="22" t="s">
        <v>50</v>
      </c>
      <c r="H10" s="17" t="s">
        <v>6</v>
      </c>
      <c r="I10" s="1"/>
      <c r="J10" s="1"/>
      <c r="K10" s="1"/>
      <c r="L10" s="30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2:24">
      <c r="B11" s="4" t="s">
        <v>48</v>
      </c>
      <c r="C11" s="5"/>
      <c r="D11" s="5"/>
      <c r="E11" s="5"/>
      <c r="F11" s="9">
        <v>24</v>
      </c>
      <c r="G11" s="24" t="s">
        <v>51</v>
      </c>
      <c r="H11" s="17" t="s">
        <v>49</v>
      </c>
      <c r="I11" s="1"/>
      <c r="J11" s="1"/>
      <c r="K11" s="1"/>
      <c r="L11" s="3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2:24" ht="15.75" thickBot="1">
      <c r="B12" s="70" t="s">
        <v>41</v>
      </c>
      <c r="C12" s="71"/>
      <c r="D12" s="71"/>
      <c r="E12" s="71"/>
      <c r="F12" s="13">
        <f>2^F11</f>
        <v>16777216</v>
      </c>
      <c r="G12" s="8"/>
      <c r="H12" s="17"/>
      <c r="I12" s="17">
        <f>0.3/(F11*F14)</f>
        <v>4.1666666666666666E-3</v>
      </c>
      <c r="J12" s="1"/>
      <c r="K12" s="1"/>
      <c r="L12" s="30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2:24">
      <c r="B13" s="2" t="s">
        <v>7</v>
      </c>
      <c r="C13" s="3"/>
      <c r="D13" s="3"/>
      <c r="E13" s="3"/>
      <c r="F13" s="3"/>
      <c r="G13" s="3"/>
      <c r="H13" s="7"/>
      <c r="I13" s="1"/>
      <c r="J13" s="1"/>
      <c r="K13" s="1"/>
      <c r="L13" s="30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2:24">
      <c r="B14" s="4"/>
      <c r="C14" s="5" t="s">
        <v>29</v>
      </c>
      <c r="D14" s="5"/>
      <c r="E14" s="5"/>
      <c r="F14" s="9">
        <v>3</v>
      </c>
      <c r="G14" s="25" t="s">
        <v>53</v>
      </c>
      <c r="H14" s="8"/>
      <c r="I14" s="1"/>
      <c r="J14" s="1"/>
      <c r="K14" s="1"/>
      <c r="L14" s="30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2:24">
      <c r="B15" s="4"/>
      <c r="C15" s="5"/>
      <c r="D15" s="5"/>
      <c r="E15" s="5"/>
      <c r="F15" s="5"/>
      <c r="G15" s="5"/>
      <c r="H15" s="8"/>
      <c r="I15" s="1"/>
      <c r="J15" s="1"/>
      <c r="K15" s="1"/>
      <c r="L15" s="30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2:24">
      <c r="B16" s="16"/>
      <c r="C16" s="14" t="s">
        <v>30</v>
      </c>
      <c r="D16" s="14"/>
      <c r="E16" s="14" t="s">
        <v>31</v>
      </c>
      <c r="F16" s="14"/>
      <c r="G16" s="14" t="s">
        <v>86</v>
      </c>
      <c r="H16" s="15"/>
      <c r="I16" s="19">
        <v>513.46407949879426</v>
      </c>
      <c r="J16" s="1"/>
      <c r="K16" s="1"/>
      <c r="L16" s="30"/>
      <c r="M16" s="30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2:24">
      <c r="B17" s="20" t="s">
        <v>8</v>
      </c>
      <c r="C17" s="39" t="s">
        <v>80</v>
      </c>
      <c r="D17" s="40"/>
      <c r="E17" s="9">
        <v>0</v>
      </c>
      <c r="F17" s="9">
        <v>5</v>
      </c>
      <c r="G17" s="5"/>
      <c r="H17" s="19">
        <v>4.9999997019767761</v>
      </c>
      <c r="I17" s="1"/>
      <c r="J17" s="1"/>
      <c r="K17" s="1"/>
      <c r="L17" s="30"/>
      <c r="M17" s="30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2:24">
      <c r="B18" s="20" t="s">
        <v>10</v>
      </c>
      <c r="C18" s="41" t="s">
        <v>84</v>
      </c>
      <c r="D18" s="42"/>
      <c r="E18" s="9">
        <v>0</v>
      </c>
      <c r="F18" s="9">
        <v>5</v>
      </c>
      <c r="G18" s="5"/>
      <c r="H18" s="19">
        <v>2.1875762939453125</v>
      </c>
      <c r="I18" s="1"/>
      <c r="J18" s="1"/>
      <c r="K18" s="1"/>
      <c r="L18" s="1"/>
      <c r="M18" s="1"/>
      <c r="N18" s="1"/>
      <c r="O18" s="1"/>
      <c r="P18" s="1"/>
      <c r="Q18" s="1"/>
      <c r="R18" s="30"/>
      <c r="S18" s="30"/>
      <c r="T18" s="30"/>
      <c r="U18" s="30"/>
      <c r="V18" s="30"/>
      <c r="W18" s="30"/>
      <c r="X18" s="30"/>
    </row>
    <row r="19" spans="2:24">
      <c r="B19" s="20" t="s">
        <v>11</v>
      </c>
      <c r="C19" s="41" t="s">
        <v>85</v>
      </c>
      <c r="D19" s="42"/>
      <c r="E19" s="9">
        <v>0</v>
      </c>
      <c r="F19" s="9">
        <v>5</v>
      </c>
      <c r="G19" s="5"/>
      <c r="H19" s="19">
        <v>4.0879464149475098</v>
      </c>
      <c r="I19" s="1"/>
      <c r="J19" s="1"/>
      <c r="K19" s="1"/>
      <c r="L19" s="1"/>
      <c r="M19" s="1"/>
      <c r="N19" s="1"/>
      <c r="O19" s="1"/>
      <c r="P19" s="1"/>
      <c r="Q19" s="1"/>
      <c r="R19" s="30"/>
      <c r="S19" s="30"/>
      <c r="T19" s="30"/>
      <c r="U19" s="30"/>
      <c r="V19" s="30"/>
      <c r="W19" s="30"/>
      <c r="X19" s="30"/>
    </row>
    <row r="20" spans="2:24">
      <c r="B20" s="20" t="s">
        <v>12</v>
      </c>
      <c r="C20" s="39" t="s">
        <v>9</v>
      </c>
      <c r="D20" s="42"/>
      <c r="E20" s="9">
        <v>0</v>
      </c>
      <c r="F20" s="9">
        <v>0</v>
      </c>
      <c r="G20" s="5"/>
      <c r="H20" s="38">
        <v>0</v>
      </c>
      <c r="I20" s="1"/>
      <c r="J20" s="1"/>
      <c r="K20" s="1"/>
      <c r="L20" s="1"/>
      <c r="M20" s="1"/>
      <c r="N20" s="1"/>
      <c r="O20" s="1"/>
      <c r="P20" s="1"/>
      <c r="Q20" s="1"/>
      <c r="R20" s="30"/>
      <c r="S20" s="30"/>
      <c r="T20" s="30"/>
      <c r="U20" s="30"/>
      <c r="V20" s="30"/>
      <c r="W20" s="30"/>
      <c r="X20" s="30"/>
    </row>
    <row r="21" spans="2:24">
      <c r="B21" s="20" t="s">
        <v>13</v>
      </c>
      <c r="C21" s="39" t="s">
        <v>9</v>
      </c>
      <c r="D21" s="42"/>
      <c r="E21" s="9">
        <v>0</v>
      </c>
      <c r="F21" s="9">
        <v>0</v>
      </c>
      <c r="G21" s="5"/>
      <c r="H21" s="38">
        <v>0</v>
      </c>
      <c r="I21" s="1"/>
      <c r="J21" s="1"/>
      <c r="K21" s="1"/>
      <c r="L21" s="1"/>
      <c r="M21" s="1"/>
      <c r="N21" s="1"/>
      <c r="O21" s="1"/>
      <c r="P21" s="1"/>
      <c r="Q21" s="1"/>
      <c r="R21" s="30"/>
      <c r="S21" s="30"/>
      <c r="T21" s="30"/>
      <c r="U21" s="30"/>
      <c r="V21" s="30"/>
      <c r="W21" s="30"/>
      <c r="X21" s="30"/>
    </row>
    <row r="22" spans="2:24">
      <c r="B22" s="20" t="s">
        <v>14</v>
      </c>
      <c r="C22" s="39" t="s">
        <v>9</v>
      </c>
      <c r="D22" s="42"/>
      <c r="E22" s="9">
        <v>0</v>
      </c>
      <c r="F22" s="9">
        <v>0</v>
      </c>
      <c r="G22" s="5"/>
      <c r="H22" s="38">
        <v>0</v>
      </c>
      <c r="I22" s="1"/>
      <c r="J22" s="1"/>
      <c r="K22" s="1"/>
      <c r="L22" s="1"/>
      <c r="M22" s="1"/>
      <c r="N22" s="1"/>
      <c r="O22" s="1"/>
      <c r="P22" s="1"/>
      <c r="Q22" s="1"/>
      <c r="R22" s="30"/>
      <c r="S22" s="30"/>
      <c r="T22" s="30"/>
      <c r="U22" s="30"/>
      <c r="V22" s="30"/>
      <c r="W22" s="30"/>
      <c r="X22" s="30"/>
    </row>
    <row r="23" spans="2:24">
      <c r="B23" s="20" t="s">
        <v>15</v>
      </c>
      <c r="C23" s="39" t="s">
        <v>9</v>
      </c>
      <c r="D23" s="42"/>
      <c r="E23" s="9">
        <v>0</v>
      </c>
      <c r="F23" s="9">
        <v>0</v>
      </c>
      <c r="G23" s="5"/>
      <c r="H23" s="38">
        <v>0</v>
      </c>
      <c r="I23" s="1"/>
      <c r="J23" s="1"/>
      <c r="K23" s="1"/>
      <c r="L23" s="1"/>
      <c r="M23" s="1"/>
      <c r="N23" s="1"/>
      <c r="O23" s="1"/>
      <c r="P23" s="1"/>
      <c r="Q23" s="1"/>
      <c r="R23" s="30"/>
      <c r="S23" s="30"/>
      <c r="T23" s="30"/>
      <c r="U23" s="30"/>
      <c r="V23" s="30"/>
      <c r="W23" s="30"/>
      <c r="X23" s="30"/>
    </row>
    <row r="24" spans="2:24">
      <c r="B24" s="20" t="s">
        <v>16</v>
      </c>
      <c r="C24" s="39" t="s">
        <v>9</v>
      </c>
      <c r="D24" s="42"/>
      <c r="E24" s="9">
        <v>0</v>
      </c>
      <c r="F24" s="9">
        <v>0</v>
      </c>
      <c r="G24" s="5"/>
      <c r="H24" s="38">
        <v>0</v>
      </c>
      <c r="I24" s="1"/>
      <c r="J24" s="1"/>
      <c r="K24" s="1"/>
      <c r="L24" s="1"/>
      <c r="M24" s="1"/>
      <c r="N24" s="1"/>
      <c r="O24" s="1"/>
      <c r="P24" s="1"/>
      <c r="Q24" s="1"/>
      <c r="R24" s="30"/>
      <c r="S24" s="30"/>
      <c r="T24" s="30"/>
      <c r="U24" s="30"/>
      <c r="V24" s="30"/>
      <c r="W24" s="1"/>
      <c r="X24" s="1"/>
    </row>
    <row r="25" spans="2:24">
      <c r="B25" s="20" t="s">
        <v>17</v>
      </c>
      <c r="C25" s="39" t="s">
        <v>9</v>
      </c>
      <c r="D25" s="42"/>
      <c r="E25" s="9">
        <v>0</v>
      </c>
      <c r="F25" s="9">
        <v>0</v>
      </c>
      <c r="G25" s="5"/>
      <c r="H25" s="38">
        <v>0</v>
      </c>
      <c r="I25" s="1"/>
      <c r="J25" s="1"/>
      <c r="K25" s="1"/>
      <c r="L25" s="1"/>
      <c r="M25" s="1"/>
      <c r="N25" s="1"/>
      <c r="O25" s="1"/>
      <c r="P25" s="1"/>
      <c r="Q25" s="1"/>
      <c r="R25" s="30"/>
      <c r="S25" s="30"/>
      <c r="T25" s="30"/>
      <c r="U25" s="30"/>
      <c r="V25" s="30"/>
      <c r="W25" s="1"/>
      <c r="X25" s="1"/>
    </row>
    <row r="26" spans="2:24">
      <c r="B26" s="20" t="s">
        <v>18</v>
      </c>
      <c r="C26" s="39" t="s">
        <v>9</v>
      </c>
      <c r="D26" s="40"/>
      <c r="E26" s="9">
        <v>0</v>
      </c>
      <c r="F26" s="9">
        <v>0</v>
      </c>
      <c r="G26" s="5"/>
      <c r="H26" s="38">
        <v>0</v>
      </c>
      <c r="I26" s="1"/>
      <c r="J26" s="1"/>
      <c r="K26" s="1"/>
      <c r="L26" s="1"/>
      <c r="M26" s="1"/>
      <c r="N26" s="1"/>
      <c r="O26" s="1"/>
      <c r="P26" s="1"/>
      <c r="Q26" s="1"/>
      <c r="R26" s="30"/>
      <c r="S26" s="30"/>
      <c r="T26" s="30"/>
      <c r="U26" s="30"/>
      <c r="V26" s="30"/>
      <c r="W26" s="43"/>
      <c r="X26" s="43"/>
    </row>
    <row r="27" spans="2:24">
      <c r="B27" s="20" t="s">
        <v>19</v>
      </c>
      <c r="C27" s="39" t="s">
        <v>9</v>
      </c>
      <c r="D27" s="40"/>
      <c r="E27" s="9">
        <v>0</v>
      </c>
      <c r="F27" s="9">
        <v>0</v>
      </c>
      <c r="G27" s="5"/>
      <c r="H27" s="38">
        <v>0</v>
      </c>
      <c r="I27" s="1"/>
      <c r="J27" s="1"/>
      <c r="K27" s="1"/>
      <c r="L27" s="1"/>
      <c r="M27" s="1"/>
      <c r="N27" s="1"/>
      <c r="O27" s="1"/>
      <c r="P27" s="1"/>
      <c r="Q27" s="1"/>
      <c r="R27" s="30"/>
      <c r="S27" s="30"/>
      <c r="T27" s="30"/>
      <c r="U27" s="30"/>
      <c r="V27" s="30"/>
      <c r="W27" s="43"/>
      <c r="X27" s="43"/>
    </row>
    <row r="28" spans="2:24">
      <c r="B28" s="20" t="s">
        <v>20</v>
      </c>
      <c r="C28" s="39" t="s">
        <v>9</v>
      </c>
      <c r="D28" s="40"/>
      <c r="E28" s="9">
        <v>0</v>
      </c>
      <c r="F28" s="9">
        <v>0</v>
      </c>
      <c r="G28" s="5"/>
      <c r="H28" s="38">
        <v>0</v>
      </c>
      <c r="I28" s="1"/>
      <c r="J28" s="1"/>
      <c r="K28" s="1"/>
      <c r="L28" s="1"/>
      <c r="M28" s="1"/>
      <c r="N28" s="1"/>
      <c r="O28" s="1"/>
      <c r="P28" s="1"/>
      <c r="Q28" s="1"/>
      <c r="R28" s="30"/>
      <c r="S28" s="30"/>
      <c r="T28" s="30"/>
      <c r="U28" s="30"/>
      <c r="V28" s="30"/>
      <c r="W28" s="1"/>
      <c r="X28" s="1"/>
    </row>
    <row r="29" spans="2:24">
      <c r="B29" s="20" t="s">
        <v>21</v>
      </c>
      <c r="C29" s="39" t="s">
        <v>9</v>
      </c>
      <c r="D29" s="40"/>
      <c r="E29" s="9">
        <v>0</v>
      </c>
      <c r="F29" s="9">
        <v>0</v>
      </c>
      <c r="G29" s="5"/>
      <c r="H29" s="38">
        <v>0</v>
      </c>
      <c r="I29" s="1"/>
      <c r="J29" s="1"/>
      <c r="K29" s="1"/>
      <c r="L29" s="1"/>
      <c r="M29" s="1"/>
      <c r="N29" s="1"/>
      <c r="O29" s="1"/>
      <c r="P29" s="1"/>
      <c r="Q29" s="1"/>
      <c r="R29" s="30"/>
      <c r="S29" s="30"/>
      <c r="T29" s="30"/>
      <c r="U29" s="30"/>
      <c r="V29" s="30"/>
      <c r="W29" s="1"/>
      <c r="X29" s="1"/>
    </row>
    <row r="30" spans="2:24">
      <c r="B30" s="20" t="s">
        <v>22</v>
      </c>
      <c r="C30" s="39" t="s">
        <v>9</v>
      </c>
      <c r="D30" s="40"/>
      <c r="E30" s="9">
        <v>0</v>
      </c>
      <c r="F30" s="9">
        <v>0</v>
      </c>
      <c r="G30" s="5"/>
      <c r="H30" s="38"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30"/>
      <c r="U30" s="30"/>
      <c r="V30" s="1"/>
      <c r="W30" s="1"/>
      <c r="X30" s="1"/>
    </row>
    <row r="31" spans="2:24">
      <c r="B31" s="20" t="s">
        <v>23</v>
      </c>
      <c r="C31" s="39" t="s">
        <v>9</v>
      </c>
      <c r="D31" s="40"/>
      <c r="E31" s="9">
        <v>0</v>
      </c>
      <c r="F31" s="9">
        <v>0</v>
      </c>
      <c r="G31" s="5"/>
      <c r="H31" s="38"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>
      <c r="B32" s="20" t="s">
        <v>24</v>
      </c>
      <c r="C32" s="39" t="s">
        <v>9</v>
      </c>
      <c r="D32" s="40"/>
      <c r="E32" s="9">
        <v>0</v>
      </c>
      <c r="F32" s="9">
        <v>0</v>
      </c>
      <c r="G32" s="5"/>
      <c r="H32" s="38"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>
      <c r="B33" s="20" t="s">
        <v>25</v>
      </c>
      <c r="C33" s="39" t="s">
        <v>9</v>
      </c>
      <c r="D33" s="40"/>
      <c r="E33" s="9">
        <v>0</v>
      </c>
      <c r="F33" s="9">
        <v>0</v>
      </c>
      <c r="G33" s="5"/>
      <c r="H33" s="38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>
      <c r="B34" s="20" t="s">
        <v>26</v>
      </c>
      <c r="C34" s="39" t="s">
        <v>9</v>
      </c>
      <c r="D34" s="40"/>
      <c r="E34" s="9">
        <v>0</v>
      </c>
      <c r="F34" s="9">
        <v>0</v>
      </c>
      <c r="G34" s="5"/>
      <c r="H34" s="38">
        <v>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>
      <c r="B35" s="20" t="s">
        <v>27</v>
      </c>
      <c r="C35" s="39" t="s">
        <v>9</v>
      </c>
      <c r="D35" s="40"/>
      <c r="E35" s="9">
        <v>0</v>
      </c>
      <c r="F35" s="9">
        <v>0</v>
      </c>
      <c r="G35" s="5"/>
      <c r="H35" s="38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>
      <c r="B36" s="20" t="s">
        <v>28</v>
      </c>
      <c r="C36" s="39" t="s">
        <v>9</v>
      </c>
      <c r="D36" s="40"/>
      <c r="E36" s="9">
        <v>0</v>
      </c>
      <c r="F36" s="9">
        <v>0</v>
      </c>
      <c r="G36" s="5"/>
      <c r="H36" s="38">
        <v>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>
      <c r="B37" s="10"/>
      <c r="C37" s="11"/>
      <c r="D37" s="11"/>
      <c r="E37" s="11"/>
      <c r="F37" s="11"/>
      <c r="G37" s="11"/>
      <c r="H37" s="12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>
      <c r="B38" s="48" t="s">
        <v>32</v>
      </c>
      <c r="C38" s="49"/>
      <c r="D38" s="49"/>
      <c r="E38" s="49"/>
      <c r="F38" s="49"/>
      <c r="G38" s="49"/>
      <c r="H38" s="50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>
      <c r="B39" s="51"/>
      <c r="C39" s="49" t="s">
        <v>33</v>
      </c>
      <c r="D39" s="49"/>
      <c r="E39" s="49"/>
      <c r="F39" s="49"/>
      <c r="G39" s="49"/>
      <c r="H39" s="52">
        <v>25.857914062500001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>
      <c r="B40" s="51"/>
      <c r="C40" s="53" t="s">
        <v>40</v>
      </c>
      <c r="D40" s="49"/>
      <c r="E40" s="49"/>
      <c r="F40" s="49"/>
      <c r="G40" s="49"/>
      <c r="H40" s="50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2:24">
      <c r="B41" s="54" t="s">
        <v>34</v>
      </c>
      <c r="C41" s="55"/>
      <c r="D41" s="55"/>
      <c r="E41" s="55"/>
      <c r="F41" s="55"/>
      <c r="G41" s="55"/>
      <c r="H41" s="56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>
      <c r="B42" s="51"/>
      <c r="C42" s="57" t="s">
        <v>37</v>
      </c>
      <c r="D42" s="49"/>
      <c r="E42" s="49"/>
      <c r="F42" s="49"/>
      <c r="G42" s="49"/>
      <c r="H42" s="50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2:24">
      <c r="B43" s="51"/>
      <c r="C43" s="49" t="s">
        <v>35</v>
      </c>
      <c r="D43" s="49"/>
      <c r="E43" s="49" t="s">
        <v>36</v>
      </c>
      <c r="F43" s="49"/>
      <c r="G43" s="49"/>
      <c r="H43" s="50" t="s">
        <v>39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>
      <c r="B44" s="58" t="s">
        <v>8</v>
      </c>
      <c r="C44" s="46"/>
      <c r="D44" s="59"/>
      <c r="E44" s="60"/>
      <c r="F44" s="60"/>
      <c r="G44" s="49"/>
      <c r="H44" s="6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>
      <c r="B45" s="58" t="s">
        <v>10</v>
      </c>
      <c r="C45" s="47"/>
      <c r="D45" s="62"/>
      <c r="E45" s="60"/>
      <c r="F45" s="60"/>
      <c r="G45" s="49"/>
      <c r="H45" s="6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>
      <c r="B46" s="58" t="s">
        <v>11</v>
      </c>
      <c r="C46" s="49"/>
      <c r="D46" s="49"/>
      <c r="E46" s="60"/>
      <c r="F46" s="60"/>
      <c r="G46" s="49"/>
      <c r="H46" s="61">
        <f t="shared" ref="H46:H63" si="0">IF(E46&lt;=F46,1,0)</f>
        <v>1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>
      <c r="B47" s="58" t="s">
        <v>12</v>
      </c>
      <c r="C47" s="49"/>
      <c r="D47" s="49"/>
      <c r="E47" s="60"/>
      <c r="F47" s="60"/>
      <c r="G47" s="49"/>
      <c r="H47" s="61">
        <f t="shared" si="0"/>
        <v>1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>
      <c r="B48" s="58" t="s">
        <v>13</v>
      </c>
      <c r="C48" s="49"/>
      <c r="D48" s="49"/>
      <c r="E48" s="60"/>
      <c r="F48" s="60"/>
      <c r="G48" s="49"/>
      <c r="H48" s="61">
        <f t="shared" si="0"/>
        <v>1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B49" s="58" t="s">
        <v>14</v>
      </c>
      <c r="C49" s="49"/>
      <c r="D49" s="49"/>
      <c r="E49" s="60"/>
      <c r="F49" s="60"/>
      <c r="G49" s="49"/>
      <c r="H49" s="61">
        <f t="shared" si="0"/>
        <v>1</v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B50" s="58" t="s">
        <v>15</v>
      </c>
      <c r="C50" s="49"/>
      <c r="D50" s="49"/>
      <c r="E50" s="60"/>
      <c r="F50" s="60"/>
      <c r="G50" s="49"/>
      <c r="H50" s="61">
        <f t="shared" si="0"/>
        <v>1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B51" s="58" t="s">
        <v>16</v>
      </c>
      <c r="C51" s="49"/>
      <c r="D51" s="49"/>
      <c r="E51" s="60"/>
      <c r="F51" s="60"/>
      <c r="G51" s="49"/>
      <c r="H51" s="61">
        <f t="shared" si="0"/>
        <v>1</v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B52" s="58" t="s">
        <v>17</v>
      </c>
      <c r="C52" s="49"/>
      <c r="D52" s="49"/>
      <c r="E52" s="60"/>
      <c r="F52" s="60"/>
      <c r="G52" s="49"/>
      <c r="H52" s="61">
        <f t="shared" si="0"/>
        <v>1</v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s="28" customFormat="1">
      <c r="A53" s="1"/>
      <c r="B53" s="58" t="s">
        <v>18</v>
      </c>
      <c r="C53" s="49"/>
      <c r="D53" s="49"/>
      <c r="E53" s="60"/>
      <c r="F53" s="60"/>
      <c r="G53" s="49"/>
      <c r="H53" s="61">
        <f t="shared" si="0"/>
        <v>1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s="28" customFormat="1">
      <c r="A54" s="1"/>
      <c r="B54" s="58" t="s">
        <v>19</v>
      </c>
      <c r="C54" s="49"/>
      <c r="D54" s="49"/>
      <c r="E54" s="60"/>
      <c r="F54" s="60"/>
      <c r="G54" s="49"/>
      <c r="H54" s="61">
        <f t="shared" si="0"/>
        <v>1</v>
      </c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s="28" customFormat="1">
      <c r="A55" s="1"/>
      <c r="B55" s="58" t="s">
        <v>20</v>
      </c>
      <c r="C55" s="49"/>
      <c r="D55" s="49"/>
      <c r="E55" s="60"/>
      <c r="F55" s="60"/>
      <c r="G55" s="49"/>
      <c r="H55" s="61">
        <f t="shared" si="0"/>
        <v>1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s="28" customFormat="1">
      <c r="A56" s="1"/>
      <c r="B56" s="58" t="s">
        <v>21</v>
      </c>
      <c r="C56" s="49"/>
      <c r="D56" s="49"/>
      <c r="E56" s="60"/>
      <c r="F56" s="60"/>
      <c r="G56" s="49"/>
      <c r="H56" s="61">
        <f t="shared" si="0"/>
        <v>1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s="28" customFormat="1">
      <c r="A57" s="1"/>
      <c r="B57" s="58" t="s">
        <v>22</v>
      </c>
      <c r="C57" s="49"/>
      <c r="D57" s="49"/>
      <c r="E57" s="60"/>
      <c r="F57" s="60"/>
      <c r="G57" s="49"/>
      <c r="H57" s="61">
        <f t="shared" si="0"/>
        <v>1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s="28" customFormat="1">
      <c r="A58" s="1"/>
      <c r="B58" s="58" t="s">
        <v>23</v>
      </c>
      <c r="C58" s="49"/>
      <c r="D58" s="49"/>
      <c r="E58" s="60"/>
      <c r="F58" s="60"/>
      <c r="G58" s="49"/>
      <c r="H58" s="61">
        <f t="shared" si="0"/>
        <v>1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s="28" customFormat="1">
      <c r="A59" s="1"/>
      <c r="B59" s="58" t="s">
        <v>24</v>
      </c>
      <c r="C59" s="49"/>
      <c r="D59" s="49"/>
      <c r="E59" s="60"/>
      <c r="F59" s="60"/>
      <c r="G59" s="49"/>
      <c r="H59" s="61">
        <f t="shared" si="0"/>
        <v>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s="28" customFormat="1">
      <c r="A60" s="1"/>
      <c r="B60" s="58" t="s">
        <v>25</v>
      </c>
      <c r="C60" s="49"/>
      <c r="D60" s="49"/>
      <c r="E60" s="60"/>
      <c r="F60" s="60"/>
      <c r="G60" s="49"/>
      <c r="H60" s="61">
        <f t="shared" si="0"/>
        <v>1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s="28" customFormat="1">
      <c r="A61" s="1"/>
      <c r="B61" s="58" t="s">
        <v>26</v>
      </c>
      <c r="C61" s="49"/>
      <c r="D61" s="49"/>
      <c r="E61" s="60"/>
      <c r="F61" s="60"/>
      <c r="G61" s="49"/>
      <c r="H61" s="61">
        <f t="shared" si="0"/>
        <v>1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s="28" customFormat="1">
      <c r="A62" s="1"/>
      <c r="B62" s="58" t="s">
        <v>27</v>
      </c>
      <c r="C62" s="49"/>
      <c r="D62" s="49"/>
      <c r="E62" s="60"/>
      <c r="F62" s="60"/>
      <c r="G62" s="49"/>
      <c r="H62" s="61">
        <f t="shared" si="0"/>
        <v>1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>
      <c r="B63" s="58" t="s">
        <v>28</v>
      </c>
      <c r="C63" s="49"/>
      <c r="D63" s="49"/>
      <c r="E63" s="60"/>
      <c r="F63" s="60"/>
      <c r="G63" s="49"/>
      <c r="H63" s="61">
        <f t="shared" si="0"/>
        <v>1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>
      <c r="B64" s="51"/>
      <c r="C64" s="49"/>
      <c r="D64" s="49"/>
      <c r="E64" s="49" t="s">
        <v>38</v>
      </c>
      <c r="F64" s="49"/>
      <c r="G64" s="63" t="str">
        <f>IF(H64=1,"O.K.","SKUCHA!")</f>
        <v>O.K.</v>
      </c>
      <c r="H64" s="61">
        <f>IF(AVERAGE(H44:H63)=1,1,0)</f>
        <v>1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2:24" ht="15.75" thickBot="1">
      <c r="B65" s="64"/>
      <c r="C65" s="65"/>
      <c r="D65" s="65"/>
      <c r="E65" s="65"/>
      <c r="F65" s="65"/>
      <c r="G65" s="66"/>
      <c r="H65" s="67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2:24">
      <c r="B66" s="1"/>
      <c r="C66" s="18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2:24"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</row>
    <row r="68" spans="2:24"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</row>
    <row r="69" spans="2:24"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2:24"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</row>
    <row r="71" spans="2:24"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2:24"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</row>
    <row r="73" spans="2:24"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2:24"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</row>
    <row r="75" spans="2:24"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</row>
    <row r="76" spans="2:24"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</row>
    <row r="77" spans="2:24"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</row>
    <row r="78" spans="2:24"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</row>
    <row r="79" spans="2:24"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</row>
    <row r="80" spans="2:24"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</row>
    <row r="81" spans="2:37"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</row>
    <row r="82" spans="2:37"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</row>
    <row r="83" spans="2:37">
      <c r="B83" s="27"/>
      <c r="C83" s="27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</row>
    <row r="84" spans="2:37">
      <c r="B84" s="27"/>
      <c r="C84" s="27"/>
    </row>
    <row r="85" spans="2:37">
      <c r="B85" s="27"/>
      <c r="C85" s="27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6"/>
    </row>
    <row r="86" spans="2:37"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6"/>
    </row>
    <row r="87" spans="2:37"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6"/>
    </row>
    <row r="88" spans="2:37"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6"/>
    </row>
    <row r="89" spans="2:37"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6"/>
    </row>
    <row r="90" spans="2:37"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6"/>
    </row>
    <row r="91" spans="2:37"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6"/>
    </row>
    <row r="92" spans="2:37"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6"/>
    </row>
    <row r="93" spans="2:37"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6"/>
    </row>
    <row r="94" spans="2:37"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6"/>
    </row>
    <row r="95" spans="2:37">
      <c r="G95" s="28"/>
    </row>
    <row r="96" spans="2:37">
      <c r="G96" s="28"/>
    </row>
    <row r="98" spans="3:3">
      <c r="C98" s="21"/>
    </row>
    <row r="99" spans="3:3">
      <c r="C99" s="21"/>
    </row>
    <row r="100" spans="3:3">
      <c r="C100" s="21"/>
    </row>
    <row r="101" spans="3:3">
      <c r="C101" s="21"/>
    </row>
    <row r="102" spans="3:3">
      <c r="C102" s="21"/>
    </row>
    <row r="103" spans="3:3">
      <c r="C103" s="21"/>
    </row>
    <row r="104" spans="3:3">
      <c r="C104" s="21"/>
    </row>
    <row r="105" spans="3:3">
      <c r="C105" s="21"/>
    </row>
    <row r="106" spans="3:3">
      <c r="C106" s="21"/>
    </row>
    <row r="107" spans="3:3">
      <c r="C107" s="21"/>
    </row>
    <row r="108" spans="3:3">
      <c r="C108" s="21"/>
    </row>
    <row r="109" spans="3:3">
      <c r="C109" s="21"/>
    </row>
    <row r="110" spans="3:3">
      <c r="C110" s="21"/>
    </row>
    <row r="111" spans="3:3">
      <c r="C111" s="21"/>
    </row>
    <row r="112" spans="3:3">
      <c r="C112" s="21"/>
    </row>
    <row r="113" spans="3:3">
      <c r="C113" s="21"/>
    </row>
    <row r="114" spans="3:3">
      <c r="C114" s="21"/>
    </row>
    <row r="115" spans="3:3">
      <c r="C115" s="21"/>
    </row>
    <row r="116" spans="3:3">
      <c r="C116" s="21"/>
    </row>
    <row r="117" spans="3:3">
      <c r="C117" s="21"/>
    </row>
    <row r="118" spans="3:3">
      <c r="C118" s="21"/>
    </row>
    <row r="119" spans="3:3">
      <c r="C119" s="21"/>
    </row>
  </sheetData>
  <dataConsolidate/>
  <mergeCells count="1">
    <mergeCell ref="B12:E12"/>
  </mergeCells>
  <conditionalFormatting sqref="H17">
    <cfRule type="cellIs" dxfId="65" priority="532" operator="lessThan">
      <formula>$E$17</formula>
    </cfRule>
    <cfRule type="cellIs" dxfId="64" priority="533" operator="greaterThan">
      <formula>$F$17</formula>
    </cfRule>
    <cfRule type="cellIs" dxfId="63" priority="534" operator="between">
      <formula>$E$17</formula>
      <formula>$F$17</formula>
    </cfRule>
  </conditionalFormatting>
  <conditionalFormatting sqref="H18">
    <cfRule type="cellIs" dxfId="62" priority="529" operator="lessThan">
      <formula>$E18</formula>
    </cfRule>
    <cfRule type="cellIs" dxfId="61" priority="530" operator="greaterThan">
      <formula>$F18</formula>
    </cfRule>
    <cfRule type="cellIs" dxfId="60" priority="531" operator="between">
      <formula>$E18</formula>
      <formula>$F18</formula>
    </cfRule>
  </conditionalFormatting>
  <conditionalFormatting sqref="H19">
    <cfRule type="cellIs" dxfId="59" priority="526" operator="lessThan">
      <formula>$E$19</formula>
    </cfRule>
    <cfRule type="cellIs" dxfId="58" priority="527" operator="greaterThan">
      <formula>$F$19</formula>
    </cfRule>
    <cfRule type="cellIs" dxfId="57" priority="528" operator="between">
      <formula>$E$19</formula>
      <formula>$F$19</formula>
    </cfRule>
  </conditionalFormatting>
  <conditionalFormatting sqref="H19">
    <cfRule type="cellIs" dxfId="56" priority="472" operator="lessThan">
      <formula>$E19</formula>
    </cfRule>
    <cfRule type="cellIs" dxfId="55" priority="473" operator="greaterThan">
      <formula>$F19</formula>
    </cfRule>
    <cfRule type="cellIs" dxfId="54" priority="474" operator="between">
      <formula>$E19</formula>
      <formula>$F19</formula>
    </cfRule>
  </conditionalFormatting>
  <conditionalFormatting sqref="H20">
    <cfRule type="cellIs" dxfId="53" priority="469" operator="lessThan">
      <formula>$E20</formula>
    </cfRule>
    <cfRule type="cellIs" dxfId="52" priority="470" operator="greaterThan">
      <formula>$F20</formula>
    </cfRule>
    <cfRule type="cellIs" dxfId="51" priority="471" operator="between">
      <formula>$E20</formula>
      <formula>$F20</formula>
    </cfRule>
  </conditionalFormatting>
  <conditionalFormatting sqref="H21">
    <cfRule type="cellIs" dxfId="50" priority="466" operator="lessThan">
      <formula>$E21</formula>
    </cfRule>
    <cfRule type="cellIs" dxfId="49" priority="467" operator="greaterThan">
      <formula>$F21</formula>
    </cfRule>
    <cfRule type="cellIs" dxfId="48" priority="468" operator="between">
      <formula>$E21</formula>
      <formula>$F21</formula>
    </cfRule>
  </conditionalFormatting>
  <conditionalFormatting sqref="H22">
    <cfRule type="cellIs" dxfId="47" priority="463" operator="lessThan">
      <formula>$E22</formula>
    </cfRule>
    <cfRule type="cellIs" dxfId="46" priority="464" operator="greaterThan">
      <formula>$F22</formula>
    </cfRule>
    <cfRule type="cellIs" dxfId="45" priority="465" operator="between">
      <formula>$E22</formula>
      <formula>$F22</formula>
    </cfRule>
  </conditionalFormatting>
  <conditionalFormatting sqref="H23">
    <cfRule type="cellIs" dxfId="44" priority="460" operator="lessThan">
      <formula>$E23</formula>
    </cfRule>
    <cfRule type="cellIs" dxfId="43" priority="461" operator="greaterThan">
      <formula>$F23</formula>
    </cfRule>
    <cfRule type="cellIs" dxfId="42" priority="462" operator="between">
      <formula>$E23</formula>
      <formula>$F23</formula>
    </cfRule>
  </conditionalFormatting>
  <conditionalFormatting sqref="H24">
    <cfRule type="cellIs" dxfId="41" priority="457" operator="lessThan">
      <formula>$E24</formula>
    </cfRule>
    <cfRule type="cellIs" dxfId="40" priority="458" operator="greaterThan">
      <formula>$F24</formula>
    </cfRule>
    <cfRule type="cellIs" dxfId="39" priority="459" operator="between">
      <formula>$E24</formula>
      <formula>$F24</formula>
    </cfRule>
  </conditionalFormatting>
  <conditionalFormatting sqref="H25">
    <cfRule type="cellIs" dxfId="38" priority="454" operator="lessThan">
      <formula>$E25</formula>
    </cfRule>
    <cfRule type="cellIs" dxfId="37" priority="455" operator="greaterThan">
      <formula>$F25</formula>
    </cfRule>
    <cfRule type="cellIs" dxfId="36" priority="456" operator="between">
      <formula>$E25</formula>
      <formula>$F25</formula>
    </cfRule>
  </conditionalFormatting>
  <conditionalFormatting sqref="H26">
    <cfRule type="cellIs" dxfId="35" priority="451" operator="lessThan">
      <formula>$E26</formula>
    </cfRule>
    <cfRule type="cellIs" dxfId="34" priority="452" operator="greaterThan">
      <formula>$F26</formula>
    </cfRule>
    <cfRule type="cellIs" dxfId="33" priority="453" operator="between">
      <formula>$E26</formula>
      <formula>$F26</formula>
    </cfRule>
  </conditionalFormatting>
  <conditionalFormatting sqref="H27">
    <cfRule type="cellIs" dxfId="32" priority="448" operator="lessThan">
      <formula>$E27</formula>
    </cfRule>
    <cfRule type="cellIs" dxfId="31" priority="449" operator="greaterThan">
      <formula>$F27</formula>
    </cfRule>
    <cfRule type="cellIs" dxfId="30" priority="450" operator="between">
      <formula>$E27</formula>
      <formula>$F27</formula>
    </cfRule>
  </conditionalFormatting>
  <conditionalFormatting sqref="H28">
    <cfRule type="cellIs" dxfId="29" priority="445" operator="lessThan">
      <formula>$E28</formula>
    </cfRule>
    <cfRule type="cellIs" dxfId="28" priority="446" operator="greaterThan">
      <formula>$F28</formula>
    </cfRule>
    <cfRule type="cellIs" dxfId="27" priority="447" operator="between">
      <formula>$E28</formula>
      <formula>$F28</formula>
    </cfRule>
  </conditionalFormatting>
  <conditionalFormatting sqref="H29">
    <cfRule type="cellIs" dxfId="26" priority="442" operator="lessThan">
      <formula>$E29</formula>
    </cfRule>
    <cfRule type="cellIs" dxfId="25" priority="443" operator="greaterThan">
      <formula>$F29</formula>
    </cfRule>
    <cfRule type="cellIs" dxfId="24" priority="444" operator="between">
      <formula>$E29</formula>
      <formula>$F29</formula>
    </cfRule>
  </conditionalFormatting>
  <conditionalFormatting sqref="H30">
    <cfRule type="cellIs" dxfId="23" priority="439" operator="lessThan">
      <formula>$E30</formula>
    </cfRule>
    <cfRule type="cellIs" dxfId="22" priority="440" operator="greaterThan">
      <formula>$F30</formula>
    </cfRule>
    <cfRule type="cellIs" dxfId="21" priority="441" operator="between">
      <formula>$E30</formula>
      <formula>$F30</formula>
    </cfRule>
  </conditionalFormatting>
  <conditionalFormatting sqref="H31">
    <cfRule type="cellIs" dxfId="20" priority="436" operator="lessThan">
      <formula>$E31</formula>
    </cfRule>
    <cfRule type="cellIs" dxfId="19" priority="437" operator="greaterThan">
      <formula>$F31</formula>
    </cfRule>
    <cfRule type="cellIs" dxfId="18" priority="438" operator="between">
      <formula>$E31</formula>
      <formula>$F31</formula>
    </cfRule>
  </conditionalFormatting>
  <conditionalFormatting sqref="H32">
    <cfRule type="cellIs" dxfId="17" priority="433" operator="lessThan">
      <formula>$E32</formula>
    </cfRule>
    <cfRule type="cellIs" dxfId="16" priority="434" operator="greaterThan">
      <formula>$F32</formula>
    </cfRule>
    <cfRule type="cellIs" dxfId="15" priority="435" operator="between">
      <formula>$E32</formula>
      <formula>$F32</formula>
    </cfRule>
  </conditionalFormatting>
  <conditionalFormatting sqref="H33">
    <cfRule type="cellIs" dxfId="14" priority="430" operator="lessThan">
      <formula>$E33</formula>
    </cfRule>
    <cfRule type="cellIs" dxfId="13" priority="431" operator="greaterThan">
      <formula>$F33</formula>
    </cfRule>
    <cfRule type="cellIs" dxfId="12" priority="432" operator="between">
      <formula>$E33</formula>
      <formula>$F33</formula>
    </cfRule>
  </conditionalFormatting>
  <conditionalFormatting sqref="H34">
    <cfRule type="cellIs" dxfId="11" priority="427" operator="lessThan">
      <formula>$E34</formula>
    </cfRule>
    <cfRule type="cellIs" dxfId="10" priority="428" operator="greaterThan">
      <formula>$F34</formula>
    </cfRule>
    <cfRule type="cellIs" dxfId="9" priority="429" operator="between">
      <formula>$E34</formula>
      <formula>$F34</formula>
    </cfRule>
  </conditionalFormatting>
  <conditionalFormatting sqref="H35">
    <cfRule type="cellIs" dxfId="8" priority="424" operator="lessThan">
      <formula>$E35</formula>
    </cfRule>
    <cfRule type="cellIs" dxfId="7" priority="425" operator="greaterThan">
      <formula>$F35</formula>
    </cfRule>
    <cfRule type="cellIs" dxfId="6" priority="426" operator="between">
      <formula>$E35</formula>
      <formula>$F35</formula>
    </cfRule>
  </conditionalFormatting>
  <conditionalFormatting sqref="H36">
    <cfRule type="cellIs" dxfId="5" priority="421" operator="lessThan">
      <formula>$E36</formula>
    </cfRule>
    <cfRule type="cellIs" dxfId="4" priority="422" operator="greaterThan">
      <formula>$F36</formula>
    </cfRule>
    <cfRule type="cellIs" dxfId="3" priority="423" operator="between">
      <formula>$E36</formula>
      <formula>$F36</formula>
    </cfRule>
  </conditionalFormatting>
  <conditionalFormatting sqref="I16">
    <cfRule type="cellIs" dxfId="2" priority="1" operator="lessThan">
      <formula>$E$17</formula>
    </cfRule>
    <cfRule type="cellIs" dxfId="1" priority="2" operator="greaterThan">
      <formula>$F$17</formula>
    </cfRule>
    <cfRule type="cellIs" dxfId="0" priority="3" operator="between">
      <formula>$E$17</formula>
      <formula>$F$17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C2:M59"/>
  <sheetViews>
    <sheetView topLeftCell="B1" workbookViewId="0">
      <selection activeCell="M34" sqref="M34"/>
    </sheetView>
  </sheetViews>
  <sheetFormatPr defaultRowHeight="15"/>
  <sheetData>
    <row r="2" spans="3:5">
      <c r="C2" s="28" t="s">
        <v>68</v>
      </c>
      <c r="D2" s="28">
        <v>-1</v>
      </c>
      <c r="E2" s="28" t="s">
        <v>78</v>
      </c>
    </row>
    <row r="3" spans="3:5">
      <c r="C3" s="28" t="s">
        <v>69</v>
      </c>
      <c r="D3" s="28">
        <v>6</v>
      </c>
      <c r="E3" s="28" t="s">
        <v>74</v>
      </c>
    </row>
    <row r="4" spans="3:5">
      <c r="C4" s="28" t="s">
        <v>70</v>
      </c>
      <c r="D4" s="28">
        <v>-4</v>
      </c>
      <c r="E4" s="28" t="s">
        <v>75</v>
      </c>
    </row>
    <row r="5" spans="3:5">
      <c r="C5" s="28" t="s">
        <v>71</v>
      </c>
      <c r="D5" s="28">
        <v>-4</v>
      </c>
      <c r="E5" s="28" t="s">
        <v>76</v>
      </c>
    </row>
    <row r="6" spans="3:5">
      <c r="C6" s="28" t="s">
        <v>72</v>
      </c>
      <c r="D6" s="28">
        <v>-10</v>
      </c>
      <c r="E6" s="28" t="s">
        <v>77</v>
      </c>
    </row>
    <row r="7" spans="3:5">
      <c r="C7" s="28" t="s">
        <v>73</v>
      </c>
      <c r="D7" s="28">
        <v>50</v>
      </c>
    </row>
    <row r="8" spans="3:5">
      <c r="D8" s="28" t="s">
        <v>77</v>
      </c>
      <c r="E8" s="28" t="s">
        <v>79</v>
      </c>
    </row>
    <row r="9" spans="3:5">
      <c r="C9" s="28" t="s">
        <v>77</v>
      </c>
      <c r="D9">
        <v>4.0999999999999996</v>
      </c>
      <c r="E9">
        <f>$D$2*(D9^5)+$D$3*(D9^4)+$D$4*(D9^3)+$D$5*(D9^2)+$D$6*D9+$D$7</f>
        <v>202.9705899999999</v>
      </c>
    </row>
    <row r="10" spans="3:5">
      <c r="C10" s="28"/>
      <c r="D10">
        <v>0.1</v>
      </c>
      <c r="E10" s="28">
        <f t="shared" ref="E10:E59" si="0">$D$2*(D10^5)+$D$3*(D10^4)+$D$4*(D10^3)+$D$5*(D10^2)+$D$6*D10+$D$7</f>
        <v>48.956589999999998</v>
      </c>
    </row>
    <row r="11" spans="3:5">
      <c r="D11">
        <v>0.2</v>
      </c>
      <c r="E11" s="28">
        <f t="shared" si="0"/>
        <v>47.817279999999997</v>
      </c>
    </row>
    <row r="12" spans="3:5">
      <c r="D12">
        <v>0.3</v>
      </c>
      <c r="E12" s="28">
        <f t="shared" si="0"/>
        <v>46.57817</v>
      </c>
    </row>
    <row r="13" spans="3:5">
      <c r="D13">
        <v>0.4</v>
      </c>
      <c r="E13" s="28">
        <f t="shared" si="0"/>
        <v>45.24736</v>
      </c>
    </row>
    <row r="14" spans="3:5">
      <c r="D14">
        <v>0.5</v>
      </c>
      <c r="E14" s="28">
        <f t="shared" si="0"/>
        <v>43.84375</v>
      </c>
    </row>
    <row r="15" spans="3:5">
      <c r="D15" s="28">
        <v>0.6</v>
      </c>
      <c r="E15" s="28">
        <f t="shared" si="0"/>
        <v>42.39584</v>
      </c>
    </row>
    <row r="16" spans="3:5">
      <c r="D16" s="28">
        <v>0.7</v>
      </c>
      <c r="E16" s="28">
        <f t="shared" si="0"/>
        <v>40.940529999999995</v>
      </c>
    </row>
    <row r="17" spans="4:13">
      <c r="D17" s="28">
        <v>0.8</v>
      </c>
      <c r="E17" s="28">
        <f t="shared" si="0"/>
        <v>39.521920000000001</v>
      </c>
    </row>
    <row r="18" spans="4:13">
      <c r="D18" s="28">
        <v>0.9</v>
      </c>
      <c r="E18" s="28">
        <f t="shared" si="0"/>
        <v>38.190110000000004</v>
      </c>
    </row>
    <row r="19" spans="4:13">
      <c r="D19" s="28">
        <v>1</v>
      </c>
      <c r="E19" s="28">
        <f t="shared" si="0"/>
        <v>37</v>
      </c>
    </row>
    <row r="20" spans="4:13">
      <c r="D20" s="28">
        <v>1.1000000000000001</v>
      </c>
      <c r="E20" s="28">
        <f t="shared" si="0"/>
        <v>36.010089999999998</v>
      </c>
      <c r="I20" s="28" t="s">
        <v>81</v>
      </c>
      <c r="J20" s="28" t="s">
        <v>80</v>
      </c>
    </row>
    <row r="21" spans="4:13">
      <c r="D21" s="28">
        <v>1.2</v>
      </c>
      <c r="E21" s="28">
        <f t="shared" si="0"/>
        <v>35.281279999999995</v>
      </c>
      <c r="I21" s="28" t="s">
        <v>68</v>
      </c>
      <c r="J21">
        <v>1</v>
      </c>
      <c r="K21">
        <v>0.5</v>
      </c>
      <c r="L21">
        <v>-1</v>
      </c>
    </row>
    <row r="22" spans="4:13">
      <c r="D22" s="28">
        <v>1.3</v>
      </c>
      <c r="E22" s="28">
        <f t="shared" si="0"/>
        <v>34.87567</v>
      </c>
      <c r="I22" s="28" t="s">
        <v>69</v>
      </c>
      <c r="J22">
        <v>-7</v>
      </c>
      <c r="K22">
        <v>-4</v>
      </c>
      <c r="L22">
        <v>6</v>
      </c>
    </row>
    <row r="23" spans="4:13">
      <c r="D23" s="28">
        <v>1.4</v>
      </c>
      <c r="E23" s="28">
        <f t="shared" si="0"/>
        <v>34.855359999999997</v>
      </c>
      <c r="I23" s="28" t="s">
        <v>70</v>
      </c>
      <c r="J23">
        <v>12</v>
      </c>
      <c r="K23">
        <v>9</v>
      </c>
      <c r="L23">
        <v>-4</v>
      </c>
    </row>
    <row r="24" spans="4:13">
      <c r="D24" s="28">
        <v>1.5</v>
      </c>
      <c r="E24" s="28">
        <f t="shared" si="0"/>
        <v>35.28125</v>
      </c>
      <c r="I24" s="28" t="s">
        <v>71</v>
      </c>
      <c r="J24">
        <v>-18</v>
      </c>
      <c r="K24">
        <v>-16</v>
      </c>
      <c r="L24">
        <v>-4</v>
      </c>
    </row>
    <row r="25" spans="4:13">
      <c r="D25" s="28">
        <v>1.6</v>
      </c>
      <c r="E25" s="28">
        <f t="shared" si="0"/>
        <v>36.211840000000009</v>
      </c>
      <c r="I25" s="28" t="s">
        <v>72</v>
      </c>
      <c r="J25">
        <v>50</v>
      </c>
      <c r="K25">
        <v>50</v>
      </c>
      <c r="L25">
        <v>-10</v>
      </c>
    </row>
    <row r="26" spans="4:13">
      <c r="D26" s="28">
        <v>1.7</v>
      </c>
      <c r="E26" s="28">
        <f t="shared" si="0"/>
        <v>37.702029999999993</v>
      </c>
      <c r="I26" s="28" t="s">
        <v>73</v>
      </c>
      <c r="J26">
        <v>120</v>
      </c>
      <c r="K26">
        <v>80</v>
      </c>
      <c r="L26">
        <v>50</v>
      </c>
    </row>
    <row r="27" spans="4:13">
      <c r="D27" s="28">
        <v>1.8</v>
      </c>
      <c r="E27" s="28">
        <f t="shared" si="0"/>
        <v>39.801920000000003</v>
      </c>
      <c r="I27" s="28" t="s">
        <v>55</v>
      </c>
      <c r="J27">
        <v>0</v>
      </c>
      <c r="K27">
        <v>0</v>
      </c>
      <c r="L27">
        <v>0</v>
      </c>
    </row>
    <row r="28" spans="4:13">
      <c r="D28" s="28">
        <v>1.9</v>
      </c>
      <c r="E28" s="28">
        <f t="shared" si="0"/>
        <v>42.555610000000001</v>
      </c>
      <c r="I28" s="28" t="s">
        <v>56</v>
      </c>
      <c r="J28">
        <v>5</v>
      </c>
      <c r="K28">
        <v>5</v>
      </c>
      <c r="L28">
        <v>5</v>
      </c>
    </row>
    <row r="29" spans="4:13">
      <c r="D29" s="28">
        <v>2</v>
      </c>
      <c r="E29" s="28">
        <f t="shared" si="0"/>
        <v>46</v>
      </c>
      <c r="I29" s="28" t="s">
        <v>82</v>
      </c>
      <c r="J29">
        <v>5</v>
      </c>
      <c r="K29">
        <v>2.2000000000000002</v>
      </c>
      <c r="L29">
        <v>4.0999999999999996</v>
      </c>
    </row>
    <row r="30" spans="4:13">
      <c r="D30" s="28">
        <v>2.1</v>
      </c>
      <c r="E30" s="28">
        <f t="shared" si="0"/>
        <v>50.163589999999992</v>
      </c>
      <c r="I30" s="28" t="s">
        <v>83</v>
      </c>
      <c r="J30">
        <v>170</v>
      </c>
      <c r="K30">
        <v>140.46</v>
      </c>
      <c r="L30">
        <v>202.97</v>
      </c>
      <c r="M30" s="69">
        <f>SUM(J30:L30)</f>
        <v>513.43000000000006</v>
      </c>
    </row>
    <row r="31" spans="4:13">
      <c r="D31" s="28">
        <v>2.2000000000000002</v>
      </c>
      <c r="E31" s="28">
        <f t="shared" si="0"/>
        <v>55.065280000000016</v>
      </c>
    </row>
    <row r="32" spans="4:13">
      <c r="D32" s="28">
        <v>2.2999999999999998</v>
      </c>
      <c r="E32" s="28">
        <f t="shared" si="0"/>
        <v>60.713169999999998</v>
      </c>
    </row>
    <row r="33" spans="4:5">
      <c r="D33" s="28">
        <v>2.4</v>
      </c>
      <c r="E33" s="28">
        <f t="shared" si="0"/>
        <v>67.103360000000009</v>
      </c>
    </row>
    <row r="34" spans="4:5">
      <c r="D34" s="28">
        <v>2.5</v>
      </c>
      <c r="E34" s="28">
        <f t="shared" si="0"/>
        <v>74.21875</v>
      </c>
    </row>
    <row r="35" spans="4:5">
      <c r="D35" s="28">
        <v>2.6</v>
      </c>
      <c r="E35" s="28">
        <f t="shared" si="0"/>
        <v>82.027839999999969</v>
      </c>
    </row>
    <row r="36" spans="4:5">
      <c r="D36" s="28">
        <v>2.7</v>
      </c>
      <c r="E36" s="28">
        <f t="shared" si="0"/>
        <v>90.48353000000003</v>
      </c>
    </row>
    <row r="37" spans="4:5">
      <c r="D37" s="28">
        <v>2.8</v>
      </c>
      <c r="E37" s="28">
        <f t="shared" si="0"/>
        <v>99.521919999999938</v>
      </c>
    </row>
    <row r="38" spans="4:5">
      <c r="D38" s="28">
        <v>2.9</v>
      </c>
      <c r="E38" s="28">
        <f t="shared" si="0"/>
        <v>109.06111000000004</v>
      </c>
    </row>
    <row r="39" spans="4:5">
      <c r="D39" s="28">
        <v>3</v>
      </c>
      <c r="E39" s="28">
        <f t="shared" si="0"/>
        <v>119</v>
      </c>
    </row>
    <row r="40" spans="4:5">
      <c r="D40" s="28">
        <v>3.1</v>
      </c>
      <c r="E40" s="28">
        <f t="shared" si="0"/>
        <v>129.21709000000007</v>
      </c>
    </row>
    <row r="41" spans="4:5">
      <c r="D41" s="28">
        <v>3.2</v>
      </c>
      <c r="E41" s="28">
        <f t="shared" si="0"/>
        <v>139.56928000000005</v>
      </c>
    </row>
    <row r="42" spans="4:5">
      <c r="D42" s="28">
        <v>3.3</v>
      </c>
      <c r="E42" s="28">
        <f t="shared" si="0"/>
        <v>149.89067</v>
      </c>
    </row>
    <row r="43" spans="4:5">
      <c r="D43" s="28">
        <v>3.4</v>
      </c>
      <c r="E43" s="28">
        <f t="shared" si="0"/>
        <v>159.99135999999993</v>
      </c>
    </row>
    <row r="44" spans="4:5">
      <c r="D44" s="28">
        <v>3.5</v>
      </c>
      <c r="E44" s="28">
        <f t="shared" si="0"/>
        <v>169.65625</v>
      </c>
    </row>
    <row r="45" spans="4:5">
      <c r="D45" s="28">
        <v>3.6</v>
      </c>
      <c r="E45" s="28">
        <f t="shared" si="0"/>
        <v>178.64383999999998</v>
      </c>
    </row>
    <row r="46" spans="4:5">
      <c r="D46" s="28">
        <v>3.7</v>
      </c>
      <c r="E46" s="28">
        <f t="shared" si="0"/>
        <v>186.68503000000004</v>
      </c>
    </row>
    <row r="47" spans="4:5">
      <c r="D47" s="28">
        <v>3.8</v>
      </c>
      <c r="E47" s="28">
        <f t="shared" si="0"/>
        <v>193.48192000000003</v>
      </c>
    </row>
    <row r="48" spans="4:5">
      <c r="D48" s="28">
        <v>3.9</v>
      </c>
      <c r="E48" s="28">
        <f t="shared" si="0"/>
        <v>198.70660999999984</v>
      </c>
    </row>
    <row r="49" spans="4:5">
      <c r="D49" s="28">
        <v>4</v>
      </c>
      <c r="E49" s="28">
        <f t="shared" si="0"/>
        <v>202</v>
      </c>
    </row>
    <row r="50" spans="4:5">
      <c r="D50" s="28">
        <v>4.0999999999999996</v>
      </c>
      <c r="E50" s="28">
        <f t="shared" si="0"/>
        <v>202.9705899999999</v>
      </c>
    </row>
    <row r="51" spans="4:5">
      <c r="D51" s="28">
        <v>4.2</v>
      </c>
      <c r="E51" s="28">
        <f t="shared" si="0"/>
        <v>201.19327999999996</v>
      </c>
    </row>
    <row r="52" spans="4:5">
      <c r="D52" s="28">
        <v>4.3</v>
      </c>
      <c r="E52" s="28">
        <f t="shared" si="0"/>
        <v>196.20817000000022</v>
      </c>
    </row>
    <row r="53" spans="4:5">
      <c r="D53" s="28">
        <v>4.4000000000000004</v>
      </c>
      <c r="E53" s="28">
        <f t="shared" si="0"/>
        <v>187.51936000000006</v>
      </c>
    </row>
    <row r="54" spans="4:5">
      <c r="D54" s="28">
        <v>4.5</v>
      </c>
      <c r="E54" s="28">
        <f t="shared" si="0"/>
        <v>174.59375</v>
      </c>
    </row>
    <row r="55" spans="4:5">
      <c r="D55" s="28">
        <v>4.5999999999999996</v>
      </c>
      <c r="E55" s="28">
        <f t="shared" si="0"/>
        <v>156.85984000000013</v>
      </c>
    </row>
    <row r="56" spans="4:5">
      <c r="D56" s="28">
        <v>4.7</v>
      </c>
      <c r="E56" s="28">
        <f t="shared" si="0"/>
        <v>133.70653000000033</v>
      </c>
    </row>
    <row r="57" spans="4:5">
      <c r="D57" s="28">
        <v>4.8</v>
      </c>
      <c r="E57" s="28">
        <f t="shared" si="0"/>
        <v>104.48191999999997</v>
      </c>
    </row>
    <row r="58" spans="4:5">
      <c r="D58" s="28">
        <v>4.9000000000000004</v>
      </c>
      <c r="E58" s="28">
        <f t="shared" si="0"/>
        <v>68.492109999999968</v>
      </c>
    </row>
    <row r="59" spans="4:5">
      <c r="D59" s="28">
        <v>5</v>
      </c>
      <c r="E59" s="28">
        <f t="shared" si="0"/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4</vt:i4>
      </vt:variant>
    </vt:vector>
  </HeadingPairs>
  <TitlesOfParts>
    <vt:vector size="7" baseType="lpstr">
      <vt:lpstr>Template List</vt:lpstr>
      <vt:lpstr>GEN</vt:lpstr>
      <vt:lpstr>Arkusz1</vt:lpstr>
      <vt:lpstr>InsertPointColumn</vt:lpstr>
      <vt:lpstr>TemplateNameColumn</vt:lpstr>
      <vt:lpstr>TemplateTypeColumn</vt:lpstr>
      <vt:lpstr>TotalTemplates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2018-08-02T08:39:42Z</dcterms:modified>
</cp:coreProperties>
</file>